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3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<sst xmlns="http://schemas.openxmlformats.org/spreadsheetml/2006/main" count="9" uniqueCount="9">
  <si>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拨码开关</t>
  </si>
  <si>
    <t>固定
电阻</t>
  </si>
  <si>
    <t>电阻1</t>
  </si>
  <si>
    <t>电阻2</t>
  </si>
  <si>
    <t>电阻3</t>
  </si>
  <si>
    <t>等效
电阻</t>
  </si>
  <si>
    <t>串联
电阻</t>
  </si>
  <si>
    <t>VRF
电压</t>
  </si>
  <si>
    <t>等效
电流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</si>
</sst>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tabSelected="1" zoomScale="235" zoomScaleNormal="235" workbookViewId="0">
      <selection activeCell="H13" sqref="H13"/>
    </sheetView>
  </sheetViews>
  <sheetFormatPr defaultColWidth="9" defaultRowHeight="13.5"/>
  <cols>
    <col min="1" max="1" width="3.93333333333333" customWidth="1"/>
    <col min="2" max="2" width="4.3" customWidth="1"/>
    <col min="3" max="3" width="4.04166666666667" customWidth="1"/>
    <col min="4" max="4" width="2.38333333333333" customWidth="1"/>
    <col min="5" max="5" width="6.125" customWidth="1"/>
    <col min="6" max="6" width="4.675" customWidth="1"/>
    <col min="7" max="7" width="4.15" customWidth="1"/>
    <col min="8" max="8" width="4.24166666666667" customWidth="1"/>
    <col min="9" max="9" width="6.48333333333333" customWidth="1"/>
    <col min="10" max="10" width="5.9" customWidth="1"/>
    <col min="11" max="11" width="5.475" customWidth="1"/>
    <col min="12" max="12" width="5.85" customWidth="1"/>
  </cols>
  <sheetData>
    <row r="1" spans="1:12">
      <c r="A1" s="1" t="s">
        <v>0</v>
      </c>
      <c r="B1" s="2"/>
      <c r="C1" s="2"/>
      <c r="D1" s="3"/>
      <c r="E1" s="4" t="s">
        <v>1</v>
      </c>
      <c r="F1" s="5" t="s">
        <v>2</v>
      </c>
      <c r="G1" s="5" t="s">
        <v>3</v>
      </c>
      <c r="H1" s="5" t="s">
        <v>4</v>
      </c>
      <c r="I1" s="4" t="s">
        <v>5</v>
      </c>
      <c r="J1" s="4" t="s">
        <v>6</v>
      </c>
      <c r="K1" s="4" t="s">
        <v>7</v>
      </c>
      <c r="L1" s="4" t="s">
        <v>8</v>
      </c>
    </row>
    <row r="2" ht="22" customHeight="1" spans="1:12">
      <c r="A2" s="6">
        <v>6</v>
      </c>
      <c r="B2" s="6">
        <v>5</v>
      </c>
      <c r="C2" s="6">
        <v>4</v>
      </c>
      <c r="D2" s="3"/>
      <c r="E2" s="7"/>
      <c r="F2" s="7"/>
      <c r="G2" s="7"/>
      <c r="H2" s="7"/>
      <c r="I2" s="3"/>
      <c r="J2" s="3"/>
      <c r="K2" s="3"/>
      <c r="L2" s="3"/>
    </row>
    <row r="3" spans="1:12">
      <c r="A3" s="8">
        <v>0</v>
      </c>
      <c r="B3" s="8">
        <v>0</v>
      </c>
      <c r="C3" s="8">
        <v>0</v>
      </c>
      <c r="D3" s="9"/>
      <c r="E3" s="9">
        <v>14.7</v>
      </c>
      <c r="F3" s="9"/>
      <c r="G3" s="9"/>
      <c r="H3" s="9"/>
      <c r="I3" s="10">
        <f>1/(1/E3)</f>
        <v>14.7</v>
      </c>
      <c r="J3" s="10">
        <v>2.1</v>
      </c>
      <c r="K3" s="10">
        <f t="shared" ref="K3:K10" si="0">3.3*(I3/(I3+J3))</f>
        <v>2.8875</v>
      </c>
      <c r="L3" s="10">
        <f t="shared" ref="L3:L10" si="1">K3/2</f>
        <v>1.44375</v>
      </c>
    </row>
    <row r="4" spans="1:12">
      <c r="A4" s="8">
        <v>1</v>
      </c>
      <c r="B4" s="8">
        <v>0</v>
      </c>
      <c r="C4" s="8">
        <v>0</v>
      </c>
      <c r="D4" s="9"/>
      <c r="E4" s="9">
        <v>14.7</v>
      </c>
      <c r="F4" s="9">
        <v>10</v>
      </c>
      <c r="G4" s="9"/>
      <c r="H4" s="9"/>
      <c r="I4" s="10">
        <f>1/(1/E4+1/F4)</f>
        <v>5.95141700404858</v>
      </c>
      <c r="J4" s="10">
        <v>2.1</v>
      </c>
      <c r="K4" s="10">
        <f t="shared" si="0"/>
        <v>2.43928194297782</v>
      </c>
      <c r="L4" s="10">
        <f t="shared" si="1"/>
        <v>1.21964097148891</v>
      </c>
    </row>
    <row r="5" spans="1:12">
      <c r="A5" s="8">
        <v>0</v>
      </c>
      <c r="B5" s="8">
        <v>1</v>
      </c>
      <c r="C5" s="8">
        <v>0</v>
      </c>
      <c r="D5" s="9"/>
      <c r="E5" s="9">
        <v>14.7</v>
      </c>
      <c r="F5" s="9"/>
      <c r="G5" s="9">
        <v>3.3</v>
      </c>
      <c r="H5" s="9"/>
      <c r="I5" s="10">
        <f>1/(1/E5+1/G5)</f>
        <v>2.695</v>
      </c>
      <c r="J5" s="10">
        <v>2.1</v>
      </c>
      <c r="K5" s="10">
        <f t="shared" si="0"/>
        <v>1.85474452554745</v>
      </c>
      <c r="L5" s="10">
        <f t="shared" si="1"/>
        <v>0.927372262773723</v>
      </c>
    </row>
    <row r="6" spans="1:12">
      <c r="A6" s="8">
        <v>1</v>
      </c>
      <c r="B6" s="8">
        <v>1</v>
      </c>
      <c r="C6" s="8">
        <v>0</v>
      </c>
      <c r="D6" s="9"/>
      <c r="E6" s="9">
        <v>14.7</v>
      </c>
      <c r="F6" s="9">
        <v>10</v>
      </c>
      <c r="G6" s="9">
        <v>3.3</v>
      </c>
      <c r="H6" s="9"/>
      <c r="I6" s="10">
        <f>1/(1/E6+1/F6+1/G6)</f>
        <v>2.12288302481292</v>
      </c>
      <c r="J6" s="10">
        <v>2.1</v>
      </c>
      <c r="K6" s="10">
        <f t="shared" si="0"/>
        <v>1.65894104589672</v>
      </c>
      <c r="L6" s="10">
        <f t="shared" si="1"/>
        <v>0.829470522948358</v>
      </c>
    </row>
    <row r="7" spans="1:12">
      <c r="A7" s="8">
        <v>0</v>
      </c>
      <c r="B7" s="8">
        <v>0</v>
      </c>
      <c r="C7" s="8">
        <v>1</v>
      </c>
      <c r="D7" s="9"/>
      <c r="E7" s="9">
        <v>14.7</v>
      </c>
      <c r="F7" s="9"/>
      <c r="G7" s="9"/>
      <c r="H7" s="9">
        <v>2.1</v>
      </c>
      <c r="I7" s="10">
        <f>1/(1/E7+1/H7)</f>
        <v>1.8375</v>
      </c>
      <c r="J7" s="10">
        <v>2.1</v>
      </c>
      <c r="K7" s="10">
        <f t="shared" si="0"/>
        <v>1.54</v>
      </c>
      <c r="L7" s="10">
        <f t="shared" si="1"/>
        <v>0.77</v>
      </c>
    </row>
    <row r="8" spans="1:12">
      <c r="A8" s="8">
        <v>1</v>
      </c>
      <c r="B8" s="8">
        <v>0</v>
      </c>
      <c r="C8" s="8">
        <v>1</v>
      </c>
      <c r="D8" s="9"/>
      <c r="E8" s="9">
        <v>14.7</v>
      </c>
      <c r="F8" s="9">
        <v>10</v>
      </c>
      <c r="G8" s="9"/>
      <c r="H8" s="9">
        <v>2.1</v>
      </c>
      <c r="I8" s="10">
        <f>1/(1/E8+1/F8+1/H8)</f>
        <v>1.55227032734952</v>
      </c>
      <c r="J8" s="10">
        <v>2.1</v>
      </c>
      <c r="K8" s="10">
        <f t="shared" si="0"/>
        <v>1.40255009107468</v>
      </c>
      <c r="L8" s="10">
        <f t="shared" si="1"/>
        <v>0.701275045537341</v>
      </c>
    </row>
    <row r="9" spans="1:12">
      <c r="A9" s="8">
        <v>0</v>
      </c>
      <c r="B9" s="8">
        <v>1</v>
      </c>
      <c r="C9" s="8">
        <v>1</v>
      </c>
      <c r="D9" s="9"/>
      <c r="E9" s="9">
        <v>14.7</v>
      </c>
      <c r="F9" s="9"/>
      <c r="G9" s="9">
        <v>3.3</v>
      </c>
      <c r="H9" s="9">
        <v>2.1</v>
      </c>
      <c r="I9" s="10">
        <f>1/(1/E9+1/G9+1/H9)</f>
        <v>1.18029197080292</v>
      </c>
      <c r="J9" s="10">
        <v>2.1</v>
      </c>
      <c r="K9" s="10">
        <f t="shared" si="0"/>
        <v>1.18738317757009</v>
      </c>
      <c r="L9" s="10">
        <f t="shared" si="1"/>
        <v>0.593691588785047</v>
      </c>
    </row>
    <row r="10" spans="1:12">
      <c r="A10" s="8">
        <v>1</v>
      </c>
      <c r="B10" s="8">
        <v>1</v>
      </c>
      <c r="C10" s="8">
        <v>1</v>
      </c>
      <c r="D10" s="9"/>
      <c r="E10" s="9">
        <v>14.7</v>
      </c>
      <c r="F10" s="9">
        <v>10</v>
      </c>
      <c r="G10" s="9">
        <v>3.3</v>
      </c>
      <c r="H10" s="9">
        <v>2.1</v>
      </c>
      <c r="I10" s="10">
        <f>1/(1/E10+1/F10+1/G10+1/H10)</f>
        <v>1.05568975647973</v>
      </c>
      <c r="J10" s="10">
        <v>2.1</v>
      </c>
      <c r="K10" s="10">
        <f t="shared" si="0"/>
        <v>1.10396663335795</v>
      </c>
      <c r="L10" s="10">
        <f t="shared" si="1"/>
        <v>0.551983316678976</v>
      </c>
    </row>
  </sheetData>
  <mergeCells count="9">
    <mergeCell ref="A1:C1"/>
    <mergeCell ref="E1:E2"/>
    <mergeCell ref="F1:F2"/>
    <mergeCell ref="G1:G2"/>
    <mergeCell ref="H1:H2"/>
    <mergeCell ref="I1:I2"/>
    <mergeCell ref="J1:J2"/>
    <mergeCell ref="K1:K2"/>
    <mergeCell ref="L1:L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WPS_1712889074</cp:lastModifiedBy>
  <dcterms:created xsi:type="dcterms:W3CDTF">2023-05-12T11:15:00Z</dcterms:created>
  <dcterms:modified xsi:type="dcterms:W3CDTF">2024-11-25T02:57:26Z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F2C1F4D363224FFEAC731530E62D481A_12</vt:lpwstr>
  </property>
</Properties>
</file>